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att\projects\codex\between-the-lines\"/>
    </mc:Choice>
  </mc:AlternateContent>
  <xr:revisionPtr revIDLastSave="0" documentId="13_ncr:1_{7C7DF996-7B68-4E42-A32E-FFDD1931DB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Ticke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</calcChain>
</file>

<file path=xl/sharedStrings.xml><?xml version="1.0" encoding="utf-8"?>
<sst xmlns="http://schemas.openxmlformats.org/spreadsheetml/2006/main" count="41" uniqueCount="34">
  <si>
    <t>Project Ticket Tracker</t>
  </si>
  <si>
    <t>Generated On</t>
  </si>
  <si>
    <t>2026-04-25</t>
  </si>
  <si>
    <t>Open Tickets</t>
  </si>
  <si>
    <t>In Progress</t>
  </si>
  <si>
    <t>Blocked</t>
  </si>
  <si>
    <t>Done</t>
  </si>
  <si>
    <t>Next Suggested Focus</t>
  </si>
  <si>
    <t>Frontend login follow-up</t>
  </si>
  <si>
    <t>Ticket ID</t>
  </si>
  <si>
    <t>Area</t>
  </si>
  <si>
    <t>Title</t>
  </si>
  <si>
    <t>Description</t>
  </si>
  <si>
    <t>Priority</t>
  </si>
  <si>
    <t>Status</t>
  </si>
  <si>
    <t>Owner</t>
  </si>
  <si>
    <t>Created On</t>
  </si>
  <si>
    <t>Notes</t>
  </si>
  <si>
    <t>FE-001</t>
  </si>
  <si>
    <t>Frontend</t>
  </si>
  <si>
    <t>Move login inputs from useRef to useState</t>
  </si>
  <si>
    <t>Refactor the login page to controlled inputs and add lightweight required and email-format validation for better disabled-submit behavior.</t>
  </si>
  <si>
    <t>Medium</t>
  </si>
  <si>
    <t>Follow-up after basic login page implementation.</t>
  </si>
  <si>
    <t>FE-002</t>
  </si>
  <si>
    <t>UI enhancements with adornments and basic validation</t>
  </si>
  <si>
    <t>Move from useRef to useState for inputs, disabled submit until fields are filled, basic email validation for email field, password visibility toggle, start input adornments with icons</t>
  </si>
  <si>
    <t>In Prod</t>
  </si>
  <si>
    <t>Vikram Bhat</t>
  </si>
  <si>
    <t>BE-001</t>
  </si>
  <si>
    <t>Backend</t>
  </si>
  <si>
    <t>Login endpoint wired with JWT</t>
  </si>
  <si>
    <t xml:space="preserve">Wire in JWT token and controller, service and db layer. Use Postgres and docker for db. </t>
  </si>
  <si>
    <t>Staging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</si>
</sst>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14" fontId="0" fillId="0" borderId="1" xfId="0" applyNumberFormat="1" applyBorder="1" applyAlignment="1">
      <alignment vertical="center"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color rgb="FF1E4620"/>
      </font>
      <fill>
        <patternFill patternType="solid">
          <fgColor indexed="64"/>
          <bgColor rgb="FFA9D08E"/>
        </patternFill>
      </fill>
    </dxf>
    <dxf>
      <font>
        <b/>
        <i val="0"/>
        <color rgb="FF1F3864"/>
      </font>
      <fill>
        <patternFill patternType="solid">
          <fgColor indexed="64"/>
          <bgColor rgb="FFD9E1F2"/>
        </patternFill>
      </fill>
    </dxf>
    <dxf>
      <font>
        <b/>
        <i val="0"/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5F497A"/>
      </font>
      <fill>
        <patternFill patternType="solid">
          <fgColor indexed="64"/>
          <bgColor rgb="FFE4DFEC"/>
        </patternFill>
      </fill>
    </dxf>
    <dxf>
      <font>
        <b/>
        <i val="0"/>
        <color rgb="FF843C0C"/>
      </font>
      <fill>
        <patternFill patternType="solid">
          <fgColor indexed="64"/>
          <bgColor rgb="FFF8CBAD"/>
        </patternFill>
      </fill>
    </dxf>
    <dxf>
      <font>
        <b/>
        <i val="0"/>
        <color rgb="FF1F4E79"/>
      </font>
      <fill>
        <patternFill patternType="solid">
          <fgColor indexed="64"/>
          <bgColor rgb="FFBDD7EE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B0F91A-3B1A-4373-8DD8-A3B1A2C7404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c94e1a1-36ca-4bf2-a626-1aeff2e815c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O4" sqref="O4"/>
    </sheetView>
  </sheetViews>
  <sheetFormatPr defaultRowHeight="13.8"/>
  <cols>
    <col min="1" max="1" width="26.69921875" customWidth="1"/>
    <col min="2" max="2" width="33.296875" customWidth="1"/>
  </cols>
  <sheetData>
    <row r="1" spans="1:2" ht="28.05" customHeight="1">
      <c r="A1" s="8" t="s">
        <v>0</v>
      </c>
      <c r="B1" s="8"/>
    </row>
    <row r="2" spans="1:2">
      <c r="A2" s="4" t="s">
        <v>1</v>
      </c>
      <c r="B2" s="1" t="s">
        <v>2</v>
      </c>
    </row>
    <row r="3" spans="1:2">
      <c r="A3" s="4" t="s">
        <v>3</v>
      </c>
      <c r="B3" s="1">
        <f>COUNTIF(Tickets!F2:F200,"Open")</f>
        <v>0</v>
      </c>
    </row>
    <row r="4" spans="1:2">
      <c r="A4" s="4" t="s">
        <v>4</v>
      </c>
      <c r="B4" s="1">
        <f>COUNTIF(Tickets!F2:F200,"In Progress")</f>
        <v>0</v>
      </c>
    </row>
    <row r="5" spans="1:2">
      <c r="A5" s="4" t="s">
        <v>5</v>
      </c>
      <c r="B5" s="1">
        <f>COUNTIF(Tickets!F2:F200,"Blocked")</f>
        <v>0</v>
      </c>
    </row>
    <row r="6" spans="1:2">
      <c r="A6" s="4" t="s">
        <v>6</v>
      </c>
      <c r="B6" s="1">
        <f>COUNTIF(Tickets!F2:F200,"Done")</f>
        <v>0</v>
      </c>
    </row>
    <row r="7" spans="1:2">
      <c r="A7" s="4" t="s">
        <v>7</v>
      </c>
      <c r="B7" s="1" t="s">
        <v>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tabSelected="1" topLeftCell="C1" workbookViewId="0">
      <selection activeCell="F4" sqref="F4"/>
    </sheetView>
  </sheetViews>
  <sheetFormatPr defaultRowHeight="13.8"/>
  <cols>
    <col min="1" max="1" width="15" style="5" customWidth="1"/>
    <col min="2" max="2" width="16.69921875" style="5" customWidth="1"/>
    <col min="3" max="3" width="46.69921875" style="5" customWidth="1"/>
    <col min="4" max="4" width="63.296875" style="5" customWidth="1"/>
    <col min="5" max="5" width="15" style="5" customWidth="1"/>
    <col min="6" max="6" width="20" style="5" customWidth="1"/>
    <col min="7" max="7" width="16.69921875" style="5" customWidth="1"/>
    <col min="8" max="8" width="18.296875" style="5" customWidth="1"/>
    <col min="9" max="9" width="46.69921875" style="5" customWidth="1"/>
    <col min="10" max="16384" width="8.796875" style="5"/>
  </cols>
  <sheetData>
    <row r="1" spans="1:9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ht="27.6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27</v>
      </c>
      <c r="G2" s="3" t="s">
        <v>28</v>
      </c>
      <c r="H2" s="3" t="s">
        <v>2</v>
      </c>
      <c r="I2" s="3" t="s">
        <v>23</v>
      </c>
    </row>
    <row r="3" spans="1:9" ht="41.4">
      <c r="A3" s="5" t="s">
        <v>24</v>
      </c>
      <c r="B3" s="5" t="s">
        <v>19</v>
      </c>
      <c r="C3" s="5" t="s">
        <v>25</v>
      </c>
      <c r="D3" s="5" t="s">
        <v>26</v>
      </c>
      <c r="E3" s="5" t="s">
        <v>22</v>
      </c>
      <c r="F3" s="5" t="s">
        <v>33</v>
      </c>
      <c r="G3" s="3" t="s">
        <v>28</v>
      </c>
      <c r="H3" s="6">
        <v>46137</v>
      </c>
    </row>
    <row r="4" spans="1:9" ht="27.6">
      <c r="A4" s="5" t="s">
        <v>29</v>
      </c>
      <c r="B4" s="5" t="s">
        <v>30</v>
      </c>
      <c r="C4" s="5" t="s">
        <v>31</v>
      </c>
      <c r="D4" s="5" t="s">
        <v>32</v>
      </c>
      <c r="E4" s="5" t="s">
        <v>22</v>
      </c>
      <c r="F4" s="5" t="s">
        <v>33</v>
      </c>
      <c r="G4" s="3" t="s">
        <v>28</v>
      </c>
      <c r="H4" s="7">
        <v>46137</v>
      </c>
    </row>
  </sheetData>
  <phoneticPr fontId="4" type="noConversion"/>
  <conditionalFormatting sqref="F2:F200">
    <cfRule type="cellIs" dxfId="6" priority="1" operator="equal">
      <formula>"Open"</formula>
    </cfRule>
    <cfRule type="cellIs" dxfId="5" priority="2" operator="equal">
      <formula>"In Progress"</formula>
    </cfRule>
    <cfRule type="cellIs" dxfId="4" priority="3" operator="equal">
      <formula>"Blocked"</formula>
    </cfRule>
    <cfRule type="cellIs" dxfId="3" priority="4" operator="equal">
      <formula>"In Review"</formula>
    </cfRule>
    <cfRule type="cellIs" dxfId="2" priority="5" operator="equal">
      <formula>"Done"</formula>
    </cfRule>
    <cfRule type="cellIs" dxfId="1" priority="6" operator="equal">
      <formula>"Staging"</formula>
    </cfRule>
    <cfRule type="cellIs" dxfId="0" priority="7" operator="equal">
      <formula>"In Prod"</formula>
    </cfRule>
  </conditionalFormatting>
  <dataValidations count="2">
    <dataValidation type="list" allowBlank="1" showInputMessage="1" showErrorMessage="1" sqref="E2:E200" xr:uid="{0B5D8F20-6421-4A14-A902-18205625BC37}">
      <formula1>"Low,Medium,High,Critical"</formula1>
    </dataValidation>
    <dataValidation type="list" allowBlank="1" showInputMessage="1" showErrorMessage="1" errorTitle="Invalid status" error="Pick: Open, In Progress, Blocked, In Review, Done, Staging, or In Prod" sqref="F2:F200" xr:uid="{C8126FCF-0B02-49E6-9BB7-95DD2B304535}">
      <formula1>"Open,In Progress,Blocked,In Review,Done,Staging,In Prod"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 bhat</cp:lastModifiedBy>
  <dcterms:modified xsi:type="dcterms:W3CDTF">2026-04-27T15:13:14Z</dcterms:modified>
</cp:coreProperties>
</file>