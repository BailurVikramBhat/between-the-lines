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bhatt\projects\codex\between-the-lines\"/>
    </mc:Choice>
  </mc:AlternateContent>
  <xr:revisionPtr revIDLastSave="0" documentId="13_ncr:1_{A6FB046B-4F23-4666-B090-6C7E5107AB2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ummary" sheetId="1" r:id="rId1"/>
    <sheet name="Ticke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5" i="1"/>
  <c r="B4" i="1"/>
  <c r="B3" i="1"/>
</calcChain>
</file>

<file path=xl/sharedStrings.xml><?xml version="1.0" encoding="utf-8"?>
<sst xmlns="http://schemas.openxmlformats.org/spreadsheetml/2006/main" count="27" uniqueCount="26">
  <si>
    <t>Project Ticket Tracker</t>
  </si>
  <si>
    <t>Generated On</t>
  </si>
  <si>
    <t>2026-04-25</t>
  </si>
  <si>
    <t>Open Tickets</t>
  </si>
  <si>
    <t>In Progress</t>
  </si>
  <si>
    <t>Blocked</t>
  </si>
  <si>
    <t>Done</t>
  </si>
  <si>
    <t>Next Suggested Focus</t>
  </si>
  <si>
    <t>Frontend login follow-up</t>
  </si>
  <si>
    <t>Ticket ID</t>
  </si>
  <si>
    <t>Area</t>
  </si>
  <si>
    <t>Title</t>
  </si>
  <si>
    <t>Description</t>
  </si>
  <si>
    <t>Priority</t>
  </si>
  <si>
    <t>Status</t>
  </si>
  <si>
    <t>Owner</t>
  </si>
  <si>
    <t>Created On</t>
  </si>
  <si>
    <t>Notes</t>
  </si>
  <si>
    <t>FE-001</t>
  </si>
  <si>
    <t>Frontend</t>
  </si>
  <si>
    <t>Move login inputs from useRef to useState</t>
  </si>
  <si>
    <t>Refactor the login page to controlled inputs and add lightweight required and email-format validation for better disabled-submit behavior.</t>
  </si>
  <si>
    <t>Medium</t>
  </si>
  <si>
    <t>Open</t>
  </si>
  <si>
    <t>Bhatt</t>
  </si>
  <si>
    <t>Follow-up after basic login page implementation.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</si>
</sst>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</cellXfs>
  <cellStyles count="1">
    <cellStyle name="Normal" xfId="0" builtinId="0"/>
  </cellStyles>
  <dxfs count="12">
    <dxf>
      <font>
        <b/>
        <i val="0"/>
        <color rgb="FF1E4620"/>
      </font>
      <fill>
        <patternFill patternType="solid">
          <fgColor indexed="64"/>
          <bgColor rgb="FFA9D08E"/>
        </patternFill>
      </fill>
    </dxf>
    <dxf>
      <font>
        <b/>
        <i val="0"/>
        <color rgb="FF1F3864"/>
      </font>
      <fill>
        <patternFill patternType="solid">
          <fgColor indexed="64"/>
          <bgColor rgb="FFD9E1F2"/>
        </patternFill>
      </fill>
    </dxf>
    <dxf>
      <font>
        <b/>
        <i val="0"/>
        <color rgb="FF375623"/>
      </font>
      <fill>
        <patternFill patternType="solid">
          <fgColor indexed="64"/>
          <bgColor rgb="FFC6EFCE"/>
        </patternFill>
      </fill>
    </dxf>
    <dxf>
      <font>
        <b/>
        <i val="0"/>
        <color rgb="FF5F497A"/>
      </font>
      <fill>
        <patternFill patternType="solid">
          <fgColor indexed="64"/>
          <bgColor rgb="FFE4DFEC"/>
        </patternFill>
      </fill>
    </dxf>
    <dxf>
      <font>
        <b/>
        <i val="0"/>
        <color rgb="FF843C0C"/>
      </font>
      <fill>
        <patternFill patternType="solid">
          <fgColor indexed="64"/>
          <bgColor rgb="FFF8CBAD"/>
        </patternFill>
      </fill>
    </dxf>
    <dxf>
      <font>
        <b/>
        <i val="0"/>
        <color rgb="FF1F4E79"/>
      </font>
      <fill>
        <patternFill patternType="solid">
          <fgColor indexed="64"/>
          <bgColor rgb="FFBDD7EE"/>
        </patternFill>
      </fill>
    </dxf>
    <dxf>
      <font>
        <b/>
        <i val="0"/>
        <color rgb="FF7F6000"/>
      </font>
      <fill>
        <patternFill patternType="solid">
          <fgColor indexed="64"/>
          <bgColor rgb="FFFFF2CC"/>
        </patternFill>
      </fill>
    </dxf>
    <dxf>
      <font>
        <b/>
        <i val="0"/>
        <color rgb="FF375623"/>
      </font>
      <fill>
        <patternFill patternType="solid">
          <fgColor indexed="64"/>
          <bgColor rgb="FFC6EFCE"/>
        </patternFill>
      </fill>
    </dxf>
    <dxf>
      <font>
        <b/>
        <i val="0"/>
        <color rgb="FF5F497A"/>
      </font>
      <fill>
        <patternFill patternType="solid">
          <fgColor indexed="64"/>
          <bgColor rgb="FFE4DFEC"/>
        </patternFill>
      </fill>
    </dxf>
    <dxf>
      <font>
        <b/>
        <i val="0"/>
        <color rgb="FF843C0C"/>
      </font>
      <fill>
        <patternFill patternType="solid">
          <fgColor indexed="64"/>
          <bgColor rgb="FFF8CBAD"/>
        </patternFill>
      </fill>
    </dxf>
    <dxf>
      <font>
        <b/>
        <i val="0"/>
        <color rgb="FF1F4E79"/>
      </font>
      <fill>
        <patternFill patternType="solid">
          <fgColor indexed="64"/>
          <bgColor rgb="FFBDD7EE"/>
        </patternFill>
      </fill>
    </dxf>
    <dxf>
      <font>
        <b/>
        <i val="0"/>
        <color rgb="FF7F6000"/>
      </font>
      <fill>
        <patternFill patternType="solid">
          <fgColor indexed="64"/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0B0F91A-3B1A-4373-8DD8-A3B1A2C7404F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dc94e1a1-36ca-4bf2-a626-1aeff2e815c9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O4" sqref="O4"/>
    </sheetView>
  </sheetViews>
  <sheetFormatPr defaultRowHeight="13.8"/>
  <cols>
    <col min="1" max="1" width="26.69921875" customWidth="1"/>
    <col min="2" max="2" width="33.296875" customWidth="1"/>
  </cols>
  <sheetData>
    <row r="1" spans="1:2" ht="28.05" customHeight="1">
      <c r="A1" s="4" t="s">
        <v>0</v>
      </c>
      <c r="B1" s="4"/>
    </row>
    <row r="2" spans="1:2">
      <c r="A2" s="5" t="s">
        <v>1</v>
      </c>
      <c r="B2" s="1" t="s">
        <v>2</v>
      </c>
    </row>
    <row r="3" spans="1:2">
      <c r="A3" s="5" t="s">
        <v>3</v>
      </c>
      <c r="B3" s="1">
        <f>COUNTIF(Tickets!F2:F200,"Open")</f>
        <v>1</v>
      </c>
    </row>
    <row r="4" spans="1:2">
      <c r="A4" s="5" t="s">
        <v>4</v>
      </c>
      <c r="B4" s="1">
        <f>COUNTIF(Tickets!F2:F200,"In Progress")</f>
        <v>0</v>
      </c>
    </row>
    <row r="5" spans="1:2">
      <c r="A5" s="5" t="s">
        <v>5</v>
      </c>
      <c r="B5" s="1">
        <f>COUNTIF(Tickets!F2:F200,"Blocked")</f>
        <v>0</v>
      </c>
    </row>
    <row r="6" spans="1:2">
      <c r="A6" s="5" t="s">
        <v>6</v>
      </c>
      <c r="B6" s="1">
        <f>COUNTIF(Tickets!F2:F200,"Done")</f>
        <v>0</v>
      </c>
    </row>
    <row r="7" spans="1:2">
      <c r="A7" s="5" t="s">
        <v>7</v>
      </c>
      <c r="B7" s="1" t="s">
        <v>8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"/>
  <sheetViews>
    <sheetView tabSelected="1" workbookViewId="0">
      <selection activeCell="E9" sqref="E9"/>
    </sheetView>
  </sheetViews>
  <sheetFormatPr defaultRowHeight="13.8"/>
  <cols>
    <col min="1" max="1" width="15" customWidth="1"/>
    <col min="2" max="2" width="16.69921875" customWidth="1"/>
    <col min="3" max="3" width="46.69921875" customWidth="1"/>
    <col min="4" max="4" width="63.296875" customWidth="1"/>
    <col min="5" max="5" width="15" customWidth="1"/>
    <col min="6" max="6" width="20" customWidth="1"/>
    <col min="7" max="7" width="16.69921875" customWidth="1"/>
    <col min="8" max="8" width="18.296875" customWidth="1"/>
    <col min="9" max="9" width="46.69921875" customWidth="1"/>
  </cols>
  <sheetData>
    <row r="1" spans="1:9" ht="24" customHeight="1">
      <c r="A1" s="2" t="s">
        <v>9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17</v>
      </c>
    </row>
    <row r="2" spans="1:9" ht="48" customHeight="1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23</v>
      </c>
      <c r="G2" s="3" t="s">
        <v>24</v>
      </c>
      <c r="H2" s="3" t="s">
        <v>2</v>
      </c>
      <c r="I2" s="3" t="s">
        <v>25</v>
      </c>
    </row>
  </sheetData>
  <conditionalFormatting sqref="F2:F200">
    <cfRule type="cellIs" dxfId="6" priority="1" operator="equal">
      <formula>"Open"</formula>
    </cfRule>
  </conditionalFormatting>
  <conditionalFormatting sqref="F2:F200">
    <cfRule type="cellIs" dxfId="5" priority="2" operator="equal">
      <formula>"In Progress"</formula>
    </cfRule>
  </conditionalFormatting>
  <conditionalFormatting sqref="F2:F200">
    <cfRule type="cellIs" dxfId="4" priority="3" operator="equal">
      <formula>"Blocked"</formula>
    </cfRule>
  </conditionalFormatting>
  <conditionalFormatting sqref="F2:F200">
    <cfRule type="cellIs" dxfId="3" priority="4" operator="equal">
      <formula>"In Review"</formula>
    </cfRule>
  </conditionalFormatting>
  <conditionalFormatting sqref="F2:F200">
    <cfRule type="cellIs" dxfId="2" priority="5" operator="equal">
      <formula>"Done"</formula>
    </cfRule>
  </conditionalFormatting>
  <conditionalFormatting sqref="F2:F200">
    <cfRule type="cellIs" dxfId="1" priority="6" operator="equal">
      <formula>"Staging"</formula>
    </cfRule>
  </conditionalFormatting>
  <conditionalFormatting sqref="F2:F200">
    <cfRule type="cellIs" dxfId="0" priority="7" operator="equal">
      <formula>"In Prod"</formula>
    </cfRule>
  </conditionalFormatting>
  <dataValidations count="2">
    <dataValidation type="list" allowBlank="1" showInputMessage="1" showErrorMessage="1" sqref="E2:E200" xr:uid="{0B5D8F20-6421-4A14-A902-18205625BC37}">
      <formula1>"Low,Medium,High,Critical"</formula1>
    </dataValidation>
    <dataValidation type="list" allowBlank="1" showInputMessage="1" showErrorMessage="1" errorTitle="Invalid status" error="Pick: Open, In Progress, Blocked, In Review, Done, Staging, or In Prod" sqref="F2:F200" xr:uid="{C8126FCF-0B02-49E6-9BB7-95DD2B304535}">
      <formula1>"Open,In Progress,Blocked,In Review,Done,Staging,In Prod"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Tickets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vikram bhat</cp:lastModifiedBy>
  <dcterms:modified xsi:type="dcterms:W3CDTF">2026-04-25T07:13:33Z</dcterms:modified>
</cp:coreProperties>
</file>